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showInkAnnotation="0" checkCompatibility="1" autoCompressPictures="0"/>
  <bookViews>
    <workbookView xWindow="0" yWindow="0" windowWidth="38400" windowHeight="21160" tabRatio="5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3" i="1" l="1"/>
  <c r="M37" i="1"/>
  <c r="M38" i="1"/>
  <c r="M39" i="1"/>
  <c r="M36" i="1"/>
  <c r="M35" i="1"/>
  <c r="M34" i="1"/>
  <c r="M32" i="1"/>
  <c r="M30" i="1"/>
  <c r="M29" i="1"/>
  <c r="M26" i="1"/>
  <c r="M46" i="1"/>
  <c r="M12" i="1"/>
  <c r="M24" i="1"/>
  <c r="M18" i="1"/>
  <c r="M15" i="1"/>
  <c r="M14" i="1"/>
  <c r="M8" i="1"/>
  <c r="M4" i="1"/>
  <c r="M5" i="1"/>
  <c r="M52" i="1"/>
  <c r="M51" i="1"/>
  <c r="M45" i="1"/>
  <c r="M43" i="1"/>
  <c r="M44" i="1"/>
  <c r="M11" i="1"/>
  <c r="M17" i="1"/>
  <c r="M48" i="1"/>
  <c r="M47" i="1"/>
  <c r="M9" i="1"/>
  <c r="M10" i="1"/>
  <c r="M6" i="1"/>
  <c r="M2" i="1"/>
  <c r="M7" i="1"/>
  <c r="M42" i="1"/>
  <c r="M25" i="1"/>
  <c r="M20" i="1"/>
  <c r="M28" i="1"/>
  <c r="M27" i="1"/>
  <c r="M31" i="1"/>
  <c r="M13" i="1"/>
  <c r="M53" i="1"/>
  <c r="M22" i="1"/>
  <c r="M23" i="1"/>
  <c r="M54" i="1"/>
  <c r="M49" i="1"/>
  <c r="M16" i="1"/>
  <c r="M50" i="1"/>
  <c r="N55" i="1"/>
  <c r="M55" i="1"/>
</calcChain>
</file>

<file path=xl/sharedStrings.xml><?xml version="1.0" encoding="utf-8"?>
<sst xmlns="http://schemas.openxmlformats.org/spreadsheetml/2006/main" count="263" uniqueCount="191">
  <si>
    <t xml:space="preserve">Qty </t>
  </si>
  <si>
    <t xml:space="preserve">Value </t>
  </si>
  <si>
    <t>Part</t>
  </si>
  <si>
    <t>Package</t>
  </si>
  <si>
    <t>Reseller</t>
  </si>
  <si>
    <t>Stock #</t>
  </si>
  <si>
    <t>Price</t>
  </si>
  <si>
    <t>Device</t>
  </si>
  <si>
    <t>Min. Order Qty.</t>
  </si>
  <si>
    <t>approx. total second</t>
  </si>
  <si>
    <t xml:space="preserve">Total first </t>
  </si>
  <si>
    <t>Notes</t>
  </si>
  <si>
    <t>Shipping</t>
  </si>
  <si>
    <t>Total (excl. 19% VAT)</t>
  </si>
  <si>
    <t>Farnell</t>
  </si>
  <si>
    <t>Includes 10k NTC, Connector JST XHP-3 mates JST S3B-XH</t>
  </si>
  <si>
    <t>Right angle through hole</t>
  </si>
  <si>
    <t>Rotary encoder</t>
  </si>
  <si>
    <t>Grayhill</t>
  </si>
  <si>
    <t>RS</t>
  </si>
  <si>
    <t>Optical Encoder series 62 32 Position with cable and connector</t>
  </si>
  <si>
    <t>Manufacturer</t>
  </si>
  <si>
    <t>Manufacturer #</t>
  </si>
  <si>
    <t>Panasonic</t>
  </si>
  <si>
    <t>PA-LN19</t>
  </si>
  <si>
    <t>62S11-M5-060C</t>
  </si>
  <si>
    <t>JST</t>
  </si>
  <si>
    <t>S3B-XH-A(LF)(SN)</t>
  </si>
  <si>
    <t>Optical encoder</t>
  </si>
  <si>
    <t xml:space="preserve">W2B Connector </t>
  </si>
  <si>
    <t>Li-Ion pack</t>
  </si>
  <si>
    <t>3.6V, 2.9Ah</t>
  </si>
  <si>
    <t>Li-Ion Battery Pack</t>
  </si>
  <si>
    <t>Buck Boost Converter ADJ.</t>
  </si>
  <si>
    <t>TI</t>
  </si>
  <si>
    <t>TPS63000</t>
  </si>
  <si>
    <t>Adjustable</t>
  </si>
  <si>
    <t>QFN-10</t>
  </si>
  <si>
    <t>Li-Ion Charger</t>
  </si>
  <si>
    <t>Microchip</t>
  </si>
  <si>
    <t>DFN-10</t>
  </si>
  <si>
    <t>ON Semi</t>
  </si>
  <si>
    <t>SOT-23</t>
  </si>
  <si>
    <t>Power socket</t>
  </si>
  <si>
    <t>Lumberg</t>
  </si>
  <si>
    <t>1613-07</t>
  </si>
  <si>
    <t>Fairchild</t>
  </si>
  <si>
    <t>FDN340P</t>
  </si>
  <si>
    <t>Power P-MOSFET Charge switch</t>
  </si>
  <si>
    <t>Power P-MOSFET</t>
  </si>
  <si>
    <t>Schottky Diode</t>
  </si>
  <si>
    <t>Diode Schottky 2A, 10V</t>
  </si>
  <si>
    <t>MBRA210LT3G</t>
  </si>
  <si>
    <t>SMA 403D</t>
  </si>
  <si>
    <t>Q1</t>
  </si>
  <si>
    <t>U3</t>
  </si>
  <si>
    <t>0603</t>
  </si>
  <si>
    <t>71k5 1%</t>
  </si>
  <si>
    <t>CPF0603F71K5C1</t>
  </si>
  <si>
    <t>TE Connectivity</t>
  </si>
  <si>
    <t>Resistor</t>
  </si>
  <si>
    <t>R2</t>
  </si>
  <si>
    <t>1k 1%</t>
  </si>
  <si>
    <t>R7</t>
  </si>
  <si>
    <t>1k82 0.1%</t>
  </si>
  <si>
    <t>0805</t>
  </si>
  <si>
    <t>MCP7383X PROG1 Charge current set resistor</t>
  </si>
  <si>
    <t>MCP7383X Thermistor parallel resistor, ~ 0&lt;=T&lt;=50</t>
  </si>
  <si>
    <t>MCP7383X Thermistor series resistor,  ~ 0&lt;=T&lt;=50</t>
  </si>
  <si>
    <t>Capacitor Low ESR</t>
  </si>
  <si>
    <t>AVX</t>
  </si>
  <si>
    <t>TPSB106K016R0800</t>
  </si>
  <si>
    <t>10uF, 16V, 0.8Ohm</t>
  </si>
  <si>
    <t>B, 1210, 3528-21</t>
  </si>
  <si>
    <t>PSU bypassing</t>
  </si>
  <si>
    <t>L1,L2</t>
  </si>
  <si>
    <t>Inductor</t>
  </si>
  <si>
    <t>TDK</t>
  </si>
  <si>
    <t>VLF4012AT-3R3M1R3</t>
  </si>
  <si>
    <t>3.3uF, 1.3A, 0.12 Ohm</t>
  </si>
  <si>
    <t>L3</t>
  </si>
  <si>
    <t>EPCOS</t>
  </si>
  <si>
    <t>B82462G2332M000</t>
  </si>
  <si>
    <t>3.3uF, 2A, 0.04 Ohm</t>
  </si>
  <si>
    <t>6,3x6,3mm</t>
  </si>
  <si>
    <t>3.5×3.7mm</t>
  </si>
  <si>
    <t>Connector optical encoder</t>
  </si>
  <si>
    <t>148519 or 1056234</t>
  </si>
  <si>
    <t>Dual D-Flip-Flop</t>
  </si>
  <si>
    <t>CD4013BPW</t>
  </si>
  <si>
    <t>TSSOP-14</t>
  </si>
  <si>
    <t>Dual NAND gate</t>
  </si>
  <si>
    <t>VSSOP-8</t>
  </si>
  <si>
    <t>SN74LVC2G00DCUR</t>
  </si>
  <si>
    <t>Accelerometer</t>
  </si>
  <si>
    <t>Freescale</t>
  </si>
  <si>
    <t>XYZ-Axis, I2c</t>
  </si>
  <si>
    <t>QFN-16</t>
  </si>
  <si>
    <t>MMA8453Q</t>
  </si>
  <si>
    <t>Accel. Bypas</t>
  </si>
  <si>
    <t>0805ZC475KAT2A</t>
  </si>
  <si>
    <t>4.7uF, X7R, 10V</t>
  </si>
  <si>
    <t>U8</t>
  </si>
  <si>
    <t>C20</t>
  </si>
  <si>
    <t>LED PWM driver</t>
  </si>
  <si>
    <t>AD</t>
  </si>
  <si>
    <t>ADP8860ACPZ-R7</t>
  </si>
  <si>
    <t>LFCSP</t>
  </si>
  <si>
    <t>1uF X7R</t>
  </si>
  <si>
    <t>Murata</t>
  </si>
  <si>
    <t>GRM188R71A105KA61D</t>
  </si>
  <si>
    <t>1uF, X7R, 10V</t>
  </si>
  <si>
    <t>C23, C24, C25, C26</t>
  </si>
  <si>
    <t>BI colour LED</t>
  </si>
  <si>
    <t>CML</t>
  </si>
  <si>
    <t>CMD15-22SRUGC/TR8</t>
  </si>
  <si>
    <t>BI Colour LED R/G</t>
  </si>
  <si>
    <t>Red/Green FV R 1.7V / G 2.1V</t>
  </si>
  <si>
    <t>SMD</t>
  </si>
  <si>
    <t>U1</t>
  </si>
  <si>
    <t>U4</t>
  </si>
  <si>
    <t>U2</t>
  </si>
  <si>
    <t>Buck Boost Converter 5V</t>
  </si>
  <si>
    <t>Buck Boost Converter 3.3V</t>
  </si>
  <si>
    <t>TPS63002</t>
  </si>
  <si>
    <t>TPS63001</t>
  </si>
  <si>
    <t>5V</t>
  </si>
  <si>
    <t>3.3V</t>
  </si>
  <si>
    <t>BATT</t>
  </si>
  <si>
    <t>VAC</t>
  </si>
  <si>
    <t>LEDPWM</t>
  </si>
  <si>
    <t>MOLEX</t>
  </si>
  <si>
    <t>53261-04</t>
  </si>
  <si>
    <t>PWRSW</t>
  </si>
  <si>
    <t>53261-03</t>
  </si>
  <si>
    <t>MOLEX 0.5mm Conn</t>
  </si>
  <si>
    <t>C1, C2, C3, C5, C6 ,C7, C8, C11, C12, C13, C14, C16</t>
  </si>
  <si>
    <t>C17</t>
  </si>
  <si>
    <t>Capacitor X7R</t>
  </si>
  <si>
    <t>1uF</t>
  </si>
  <si>
    <t>C18, C19, C21, C22</t>
  </si>
  <si>
    <t>Capacitor bypass</t>
  </si>
  <si>
    <t>0.1uF</t>
  </si>
  <si>
    <t>C27</t>
  </si>
  <si>
    <t>10nF</t>
  </si>
  <si>
    <t>Cpacitor</t>
  </si>
  <si>
    <t>D2, D3</t>
  </si>
  <si>
    <t>U9</t>
  </si>
  <si>
    <t>ROTENC</t>
  </si>
  <si>
    <t>188275-6 (SMD)</t>
  </si>
  <si>
    <t>U7</t>
  </si>
  <si>
    <t>U6</t>
  </si>
  <si>
    <t>U5</t>
  </si>
  <si>
    <t>In System Fuel Gauge</t>
  </si>
  <si>
    <t>Maxim</t>
  </si>
  <si>
    <t>DS2786G+</t>
  </si>
  <si>
    <t>732-7579</t>
  </si>
  <si>
    <t>Single 2-inut AND gate</t>
  </si>
  <si>
    <t>74LVC1G08GW</t>
  </si>
  <si>
    <t>SOT-353</t>
  </si>
  <si>
    <t>U10</t>
  </si>
  <si>
    <t>NXP</t>
  </si>
  <si>
    <t>10k</t>
  </si>
  <si>
    <t>R6</t>
  </si>
  <si>
    <t>100k</t>
  </si>
  <si>
    <t>R9</t>
  </si>
  <si>
    <t>R13, R14</t>
  </si>
  <si>
    <t>2k2</t>
  </si>
  <si>
    <t>R18</t>
  </si>
  <si>
    <t>R1, R20</t>
  </si>
  <si>
    <t>R21</t>
  </si>
  <si>
    <t>1M</t>
  </si>
  <si>
    <t>R5, R15, R22</t>
  </si>
  <si>
    <t>RSENS</t>
  </si>
  <si>
    <t>Sense Resistor</t>
  </si>
  <si>
    <t>ERJ-8BWFR015V</t>
  </si>
  <si>
    <t>1206</t>
  </si>
  <si>
    <t>0R015 1^ 0.5W</t>
  </si>
  <si>
    <t>RN1</t>
  </si>
  <si>
    <t>Resistor array</t>
  </si>
  <si>
    <t>200k 1%</t>
  </si>
  <si>
    <t>1.15M 1%</t>
  </si>
  <si>
    <t>R8 (Rfb ~3.35V)</t>
  </si>
  <si>
    <t>R8 (Rfb ~3.70V)</t>
  </si>
  <si>
    <t>1.27M 1%</t>
  </si>
  <si>
    <t>Digikey</t>
  </si>
  <si>
    <t>541-1.15MHCT-ND</t>
  </si>
  <si>
    <t>541-1.27MHCT-ND</t>
  </si>
  <si>
    <t>3Li-Ion Battery Charger
FC: VREG: 4.20V | IPREG/IREG: 10% | VPTH/VREG: 71.5% | ITERM/IREG: 7.5% | VRTH/VREG: 96.5% | Timer: 6h
GP: VREG: 4.20V | IPREG/IREG: 100% | VPTH/VREG: N/A | ITERM/IREG: 7.5% | VRTH/VREG: 96.5% | Timer: 6h</t>
  </si>
  <si>
    <t>MCP73837-[FC|GP]I/MF</t>
  </si>
  <si>
    <t>EXBS8V (4x0805, 5.1mmx2.2mm)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</si>
</sst>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€&quot;\ #,##0.00_-;[Red]&quot;€&quot;\ #,##0.00\-"/>
    <numFmt numFmtId="44" formatCode="_-&quot;€&quot;\ * #,##0.00_-;_-&quot;€&quot;\ * #,##0.00\-;_-&quot;€&quot;\ * &quot;-&quot;??_-;_-@_-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1"/>
      <color rgb="FF222222"/>
      <name val="Arial"/>
      <family val="2"/>
    </font>
    <font>
      <sz val="12"/>
      <color rgb="FF000000"/>
      <name val="Calibri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C0504D"/>
      </top>
      <bottom/>
      <diagonal/>
    </border>
    <border>
      <left style="thin">
        <color rgb="FFC0504D"/>
      </left>
      <right/>
      <top style="thin">
        <color rgb="FFC0504D"/>
      </top>
      <bottom/>
      <diagonal/>
    </border>
    <border>
      <left/>
      <right style="thin">
        <color rgb="FFC0504D"/>
      </right>
      <top style="thin">
        <color rgb="FFC0504D"/>
      </top>
      <bottom/>
      <diagonal/>
    </border>
  </borders>
  <cellStyleXfs count="8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8" fontId="0" fillId="0" borderId="0" xfId="1" applyNumberFormat="1" applyFont="1"/>
    <xf numFmtId="0" fontId="0" fillId="0" borderId="0" xfId="0" applyFill="1" applyAlignment="1">
      <alignment horizontal="left" vertical="top" wrapText="1"/>
    </xf>
    <xf numFmtId="0" fontId="0" fillId="0" borderId="0" xfId="0" applyFill="1" applyAlignment="1">
      <alignment horizontal="left" vertical="top"/>
    </xf>
    <xf numFmtId="0" fontId="0" fillId="0" borderId="0" xfId="0" applyFill="1"/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left" vertical="top" wrapText="1"/>
    </xf>
    <xf numFmtId="0" fontId="3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8" fontId="3" fillId="0" borderId="0" xfId="0" applyNumberFormat="1" applyFont="1" applyFill="1" applyAlignment="1">
      <alignment vertical="center"/>
    </xf>
    <xf numFmtId="8" fontId="3" fillId="0" borderId="0" xfId="0" applyNumberFormat="1" applyFont="1" applyFill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49" fontId="0" fillId="0" borderId="0" xfId="0" applyNumberFormat="1" applyAlignment="1">
      <alignment horizontal="left" vertical="center"/>
    </xf>
    <xf numFmtId="8" fontId="0" fillId="0" borderId="0" xfId="1" applyNumberFormat="1" applyFont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8" fontId="0" fillId="0" borderId="0" xfId="1" applyNumberFormat="1" applyFont="1" applyFill="1" applyAlignment="1">
      <alignment horizontal="right" vertical="center"/>
    </xf>
    <xf numFmtId="8" fontId="0" fillId="0" borderId="0" xfId="1" applyNumberFormat="1" applyFont="1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8" fontId="0" fillId="0" borderId="0" xfId="2" applyNumberFormat="1" applyFont="1" applyAlignment="1">
      <alignment horizontal="left" vertical="center"/>
    </xf>
    <xf numFmtId="8" fontId="0" fillId="0" borderId="0" xfId="2" applyNumberFormat="1" applyFont="1" applyFill="1" applyAlignment="1">
      <alignment horizontal="right" vertical="center"/>
    </xf>
    <xf numFmtId="8" fontId="0" fillId="0" borderId="0" xfId="2" applyNumberFormat="1" applyFont="1"/>
    <xf numFmtId="8" fontId="3" fillId="0" borderId="0" xfId="2" applyNumberFormat="1" applyFont="1" applyFill="1"/>
    <xf numFmtId="8" fontId="0" fillId="0" borderId="0" xfId="0" applyNumberFormat="1" applyAlignment="1">
      <alignment horizontal="right" vertical="center"/>
    </xf>
    <xf numFmtId="8" fontId="3" fillId="0" borderId="0" xfId="1" applyNumberFormat="1" applyFont="1" applyFill="1"/>
    <xf numFmtId="8" fontId="1" fillId="0" borderId="0" xfId="2" applyNumberFormat="1" applyFont="1" applyAlignment="1">
      <alignment horizontal="right" vertical="center"/>
    </xf>
    <xf numFmtId="8" fontId="0" fillId="0" borderId="0" xfId="0" applyNumberFormat="1" applyFont="1" applyAlignment="1">
      <alignment horizontal="right" vertical="center"/>
    </xf>
    <xf numFmtId="0" fontId="0" fillId="0" borderId="0" xfId="0" applyNumberFormat="1" applyAlignment="1">
      <alignment horizontal="left" vertical="center"/>
    </xf>
    <xf numFmtId="0" fontId="0" fillId="0" borderId="0" xfId="2" applyNumberFormat="1" applyFont="1"/>
    <xf numFmtId="0" fontId="0" fillId="0" borderId="0" xfId="0" applyNumberFormat="1" applyFill="1" applyAlignment="1">
      <alignment horizontal="left" vertical="center"/>
    </xf>
    <xf numFmtId="0" fontId="3" fillId="0" borderId="0" xfId="2" applyNumberFormat="1" applyFont="1" applyFill="1"/>
    <xf numFmtId="8" fontId="0" fillId="0" borderId="0" xfId="1" applyNumberFormat="1" applyFont="1" applyFill="1"/>
    <xf numFmtId="0" fontId="8" fillId="0" borderId="1" xfId="0" applyFont="1" applyBorder="1" applyAlignment="1">
      <alignment horizontal="left" vertical="center" wrapText="1"/>
    </xf>
    <xf numFmtId="44" fontId="0" fillId="0" borderId="0" xfId="1" applyFont="1" applyFill="1" applyAlignment="1">
      <alignment horizontal="right" vertical="center"/>
    </xf>
    <xf numFmtId="44" fontId="0" fillId="0" borderId="0" xfId="1" applyFont="1" applyAlignment="1">
      <alignment horizontal="right" vertical="center"/>
    </xf>
    <xf numFmtId="0" fontId="7" fillId="0" borderId="0" xfId="0" applyFont="1" applyFill="1"/>
    <xf numFmtId="49" fontId="0" fillId="0" borderId="0" xfId="0" applyNumberFormat="1" applyFill="1" applyAlignment="1">
      <alignment horizontal="left" vertical="top"/>
    </xf>
    <xf numFmtId="0" fontId="0" fillId="0" borderId="0" xfId="0" applyFill="1" applyAlignment="1">
      <alignment horizontal="left"/>
    </xf>
    <xf numFmtId="0" fontId="0" fillId="0" borderId="0" xfId="2" applyNumberFormat="1" applyFont="1" applyFill="1" applyAlignment="1">
      <alignment horizontal="left"/>
    </xf>
    <xf numFmtId="8" fontId="0" fillId="0" borderId="0" xfId="2" applyNumberFormat="1" applyFont="1" applyFill="1"/>
    <xf numFmtId="8" fontId="1" fillId="0" borderId="0" xfId="2" applyNumberFormat="1" applyFont="1" applyFill="1" applyAlignment="1">
      <alignment horizontal="right" vertical="center"/>
    </xf>
    <xf numFmtId="0" fontId="8" fillId="0" borderId="2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8" fontId="8" fillId="0" borderId="1" xfId="0" applyNumberFormat="1" applyFont="1" applyBorder="1" applyAlignment="1">
      <alignment horizontal="right" vertical="center"/>
    </xf>
    <xf numFmtId="0" fontId="8" fillId="0" borderId="3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top"/>
    </xf>
    <xf numFmtId="49" fontId="8" fillId="0" borderId="0" xfId="0" applyNumberFormat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8" fontId="8" fillId="0" borderId="0" xfId="0" applyNumberFormat="1" applyFont="1" applyBorder="1" applyAlignment="1">
      <alignment horizontal="right" vertical="center"/>
    </xf>
    <xf numFmtId="0" fontId="8" fillId="2" borderId="0" xfId="0" applyFont="1" applyFill="1" applyBorder="1" applyAlignment="1">
      <alignment horizontal="left" vertical="top" wrapText="1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 wrapText="1"/>
    </xf>
    <xf numFmtId="0" fontId="8" fillId="2" borderId="0" xfId="0" applyFont="1" applyFill="1" applyBorder="1" applyAlignment="1">
      <alignment horizontal="left" vertical="top"/>
    </xf>
    <xf numFmtId="49" fontId="8" fillId="2" borderId="0" xfId="0" applyNumberFormat="1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0" xfId="0" applyNumberFormat="1" applyFont="1" applyFill="1" applyBorder="1" applyAlignment="1">
      <alignment horizontal="left" vertical="center"/>
    </xf>
    <xf numFmtId="8" fontId="8" fillId="2" borderId="0" xfId="1" applyNumberFormat="1" applyFont="1" applyFill="1" applyBorder="1" applyAlignment="1">
      <alignment horizontal="right" vertical="center"/>
    </xf>
    <xf numFmtId="8" fontId="1" fillId="2" borderId="0" xfId="2" applyNumberFormat="1" applyFont="1" applyFill="1" applyBorder="1" applyAlignment="1">
      <alignment horizontal="right" vertical="center"/>
    </xf>
    <xf numFmtId="44" fontId="8" fillId="2" borderId="0" xfId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top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8" fontId="0" fillId="2" borderId="0" xfId="1" applyNumberFormat="1" applyFont="1" applyFill="1" applyAlignment="1">
      <alignment horizontal="right" vertical="center"/>
    </xf>
    <xf numFmtId="8" fontId="1" fillId="2" borderId="0" xfId="2" applyNumberFormat="1" applyFont="1" applyFill="1" applyAlignment="1">
      <alignment horizontal="right" vertical="center"/>
    </xf>
    <xf numFmtId="44" fontId="0" fillId="2" borderId="0" xfId="1" applyFont="1" applyFill="1" applyAlignment="1">
      <alignment horizontal="right" vertical="center"/>
    </xf>
    <xf numFmtId="0" fontId="3" fillId="2" borderId="0" xfId="0" applyFont="1" applyFill="1" applyAlignment="1">
      <alignment horizontal="left" vertical="top" wrapText="1"/>
    </xf>
    <xf numFmtId="8" fontId="0" fillId="2" borderId="0" xfId="2" applyNumberFormat="1" applyFont="1" applyFill="1" applyAlignment="1">
      <alignment horizontal="right" vertical="center"/>
    </xf>
    <xf numFmtId="0" fontId="0" fillId="0" borderId="0" xfId="1" applyNumberFormat="1" applyFont="1" applyAlignment="1">
      <alignment horizontal="left"/>
    </xf>
    <xf numFmtId="49" fontId="0" fillId="2" borderId="0" xfId="0" applyNumberFormat="1" applyFill="1" applyAlignment="1">
      <alignment horizontal="left" vertical="top"/>
    </xf>
    <xf numFmtId="0" fontId="0" fillId="2" borderId="0" xfId="0" applyFill="1" applyAlignment="1">
      <alignment horizontal="left"/>
    </xf>
    <xf numFmtId="0" fontId="0" fillId="2" borderId="0" xfId="2" applyNumberFormat="1" applyFont="1" applyFill="1"/>
    <xf numFmtId="8" fontId="0" fillId="2" borderId="0" xfId="1" applyNumberFormat="1" applyFont="1" applyFill="1"/>
    <xf numFmtId="8" fontId="0" fillId="2" borderId="0" xfId="2" applyNumberFormat="1" applyFont="1" applyFill="1"/>
    <xf numFmtId="0" fontId="9" fillId="0" borderId="0" xfId="0" applyFont="1" applyFill="1" applyAlignment="1">
      <alignment horizontal="left" vertical="top" wrapText="1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left" vertical="center" wrapText="1"/>
    </xf>
    <xf numFmtId="0" fontId="9" fillId="0" borderId="0" xfId="0" applyFont="1" applyFill="1" applyAlignment="1">
      <alignment horizontal="left" vertical="top"/>
    </xf>
    <xf numFmtId="49" fontId="9" fillId="0" borderId="0" xfId="0" applyNumberFormat="1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9" fillId="0" borderId="0" xfId="0" applyNumberFormat="1" applyFont="1" applyFill="1" applyAlignment="1">
      <alignment horizontal="left" vertical="center"/>
    </xf>
    <xf numFmtId="8" fontId="9" fillId="0" borderId="0" xfId="1" applyNumberFormat="1" applyFont="1" applyAlignment="1">
      <alignment horizontal="right" vertical="center"/>
    </xf>
    <xf numFmtId="8" fontId="9" fillId="0" borderId="0" xfId="2" applyNumberFormat="1" applyFont="1" applyAlignment="1">
      <alignment horizontal="right" vertical="center"/>
    </xf>
    <xf numFmtId="44" fontId="9" fillId="0" borderId="0" xfId="1" applyFont="1" applyAlignment="1">
      <alignment horizontal="right" vertical="center"/>
    </xf>
    <xf numFmtId="0" fontId="9" fillId="0" borderId="0" xfId="0" applyFont="1" applyFill="1"/>
    <xf numFmtId="8" fontId="9" fillId="0" borderId="0" xfId="1" applyNumberFormat="1" applyFont="1" applyFill="1" applyAlignment="1">
      <alignment horizontal="right" vertical="center"/>
    </xf>
    <xf numFmtId="8" fontId="9" fillId="0" borderId="0" xfId="2" applyNumberFormat="1" applyFont="1" applyFill="1" applyAlignment="1">
      <alignment horizontal="right" vertical="center"/>
    </xf>
  </cellXfs>
  <cellStyles count="83">
    <cellStyle name="Currency" xfId="1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Normal" xfId="0" builtinId="0"/>
    <cellStyle name="Percent" xfId="2" builtinId="5"/>
  </cellStyles>
  <dxfs count="33">
    <dxf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2" formatCode="&quot;€&quot;\ #,##0.00_-;[Red]&quot;€&quot;\ #,##0.00\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2" formatCode="&quot;€&quot;\ #,##0.00_-;[Red]&quot;€&quot;\ #,##0.00\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2" formatCode="&quot;€&quot;\ #,##0.00_-;[Red]&quot;€&quot;\ #,##0.00\-"/>
      <alignment horizontal="right" vertical="center" textRotation="0" wrapText="0" indent="0" justifyLastLine="0" shrinkToFit="0" readingOrder="0"/>
    </dxf>
    <dxf>
      <numFmt numFmtId="12" formatCode="&quot;€&quot;\ #,##0.00_-;[Red]&quot;€&quot;\ #,##0.00\-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ill>
        <patternFill patternType="none">
          <fgColor indexed="64"/>
          <bgColor rgb="FFFFFF00"/>
        </patternFill>
      </fill>
      <alignment horizontal="left" vertical="top" textRotation="0" indent="0" justifyLastLine="0" shrinkToFit="0"/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</dxf>
    <dxf>
      <numFmt numFmtId="12" formatCode="&quot;€&quot;\ #,##0.00_-;[Red]&quot;€&quot;\ #,##0.00\-"/>
      <fill>
        <patternFill patternType="none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2" formatCode="&quot;€&quot;\ #,##0.00_-;[Red]&quot;€&quot;\ #,##0.00\-"/>
      <fill>
        <patternFill patternType="none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numFmt numFmtId="12" formatCode="&quot;€&quot;\ #,##0.00_-;[Red]&quot;€&quot;\ #,##0.00\-"/>
      <fill>
        <patternFill patternType="none">
          <fgColor indexed="64"/>
          <bgColor rgb="FFFFFF00"/>
        </patternFill>
      </fill>
    </dxf>
    <dxf>
      <numFmt numFmtId="0" formatCode="General"/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rgb="FFFFFF00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rgb="FFFFFF00"/>
        </patternFill>
      </fill>
    </dxf>
    <dxf>
      <fill>
        <patternFill patternType="none">
          <fgColor indexed="64"/>
          <bgColor rgb="FFFFFF00"/>
        </patternFill>
      </fill>
      <alignment horizontal="center" vertical="center" textRotation="0" wrapText="0" justifyLastLine="0" shrinkToFit="0"/>
    </dxf>
    <dxf>
      <fill>
        <patternFill patternType="none">
          <fgColor indexed="64"/>
          <bgColor rgb="FFFFFF00"/>
        </patternFill>
      </fill>
    </dxf>
    <dxf>
      <alignment vertical="center" textRotation="0" justifyLastLine="0" shrinkToFit="0"/>
    </dxf>
    <dxf>
      <alignment horizontal="left" vertical="top" textRotation="0" indent="0" justifyLastLine="0" shrinkToFit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O55" totalsRowCount="1" headerRowDxfId="32" dataDxfId="15" totalsRowDxfId="31">
  <autoFilter ref="A1:O54"/>
  <sortState ref="A2:O36">
    <sortCondition ref="A1"/>
  </sortState>
  <tableColumns count="15">
    <tableColumn id="4" name="Part" totalsRowLabel="Total (excl. 19% VAT)" dataDxfId="30" totalsRowDxfId="14"/>
    <tableColumn id="1" name="Qty " dataDxfId="29" totalsRowDxfId="13"/>
    <tableColumn id="9" name="Device" dataDxfId="28" totalsRowDxfId="12"/>
    <tableColumn id="14" name="Manufacturer" dataDxfId="27" totalsRowDxfId="11"/>
    <tableColumn id="15" name="Manufacturer #" dataDxfId="26" totalsRowDxfId="10"/>
    <tableColumn id="2" name="Value " dataDxfId="25" totalsRowDxfId="9"/>
    <tableColumn id="3" name="Package" dataDxfId="24" totalsRowDxfId="8"/>
    <tableColumn id="5" name="Reseller" dataDxfId="23" totalsRowDxfId="7"/>
    <tableColumn id="6" name="Stock #" dataDxfId="22" totalsRowDxfId="6"/>
    <tableColumn id="11" name="Min. Order Qty." dataDxfId="21" totalsRowDxfId="5"/>
    <tableColumn id="7" name="Price" dataDxfId="20" totalsRowDxfId="4" dataCellStyle="Currency"/>
    <tableColumn id="13" name="Shipping" dataDxfId="19" totalsRowDxfId="3" dataCellStyle="Percent"/>
    <tableColumn id="8" name="Total first " totalsRowFunction="custom" dataDxfId="18" totalsRowDxfId="2" dataCellStyle="Currency">
      <calculatedColumnFormula>Table1[[#This Row],[Shipping]]+Table1[[#This Row],[Price]]*Table1[[#This Row],[Qty ]]</calculatedColumnFormula>
      <totalsRowFormula>SUM(Table1[[Total first ]])</totalsRowFormula>
    </tableColumn>
    <tableColumn id="12" name="approx. total second" totalsRowFunction="custom" dataDxfId="17" totalsRowDxfId="1" dataCellStyle="Currency">
      <totalsRowFormula>SUM(Table1[approx. total second])</totalsRowFormula>
    </tableColumn>
    <tableColumn id="10" name="Notes" dataDxfId="16" totalsRow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O63"/>
  <sheetViews>
    <sheetView tabSelected="1" topLeftCell="A9" workbookViewId="0">
      <selection activeCell="F39" sqref="F39"/>
    </sheetView>
  </sheetViews>
  <sheetFormatPr baseColWidth="10" defaultRowHeight="15" x14ac:dyDescent="0"/>
  <cols>
    <col min="1" max="1" width="46.1640625" style="3" customWidth="1"/>
    <col min="2" max="2" width="11" style="16" customWidth="1"/>
    <col min="3" max="3" width="19.33203125" style="15" customWidth="1"/>
    <col min="4" max="4" width="16.33203125" style="2" customWidth="1"/>
    <col min="5" max="5" width="33" style="2" customWidth="1"/>
    <col min="6" max="6" width="36.1640625" style="4" customWidth="1"/>
    <col min="7" max="7" width="14.1640625" customWidth="1"/>
    <col min="8" max="8" width="10.83203125" style="1"/>
    <col min="9" max="9" width="18.1640625" style="41" customWidth="1"/>
    <col min="10" max="10" width="10.83203125" style="5"/>
    <col min="11" max="11" width="10.83203125" style="34"/>
    <col min="12" max="12" width="12.83203125" style="5" customWidth="1"/>
    <col min="13" max="13" width="22.83203125" customWidth="1"/>
    <col min="14" max="14" width="16.5" customWidth="1"/>
    <col min="15" max="15" width="108.6640625" customWidth="1"/>
  </cols>
  <sheetData>
    <row r="1" spans="1:15">
      <c r="A1" s="3" t="s">
        <v>2</v>
      </c>
      <c r="B1" s="16" t="s">
        <v>0</v>
      </c>
      <c r="C1" s="15" t="s">
        <v>7</v>
      </c>
      <c r="D1" s="15" t="s">
        <v>21</v>
      </c>
      <c r="E1" s="15" t="s">
        <v>22</v>
      </c>
      <c r="F1" s="17" t="s">
        <v>1</v>
      </c>
      <c r="G1" s="24" t="s">
        <v>3</v>
      </c>
      <c r="H1" s="17" t="s">
        <v>4</v>
      </c>
      <c r="I1" s="17" t="s">
        <v>5</v>
      </c>
      <c r="J1" s="40" t="s">
        <v>8</v>
      </c>
      <c r="K1" s="32" t="s">
        <v>6</v>
      </c>
      <c r="L1" s="32" t="s">
        <v>12</v>
      </c>
      <c r="M1" s="25" t="s">
        <v>10</v>
      </c>
      <c r="N1" s="2" t="s">
        <v>9</v>
      </c>
      <c r="O1" s="2" t="s">
        <v>11</v>
      </c>
    </row>
    <row r="2" spans="1:15" s="8" customFormat="1">
      <c r="A2" s="6" t="s">
        <v>128</v>
      </c>
      <c r="B2" s="30">
        <v>1</v>
      </c>
      <c r="C2" s="22" t="s">
        <v>29</v>
      </c>
      <c r="D2" s="22" t="s">
        <v>26</v>
      </c>
      <c r="E2" s="22" t="s">
        <v>27</v>
      </c>
      <c r="F2" s="7"/>
      <c r="G2" s="26" t="s">
        <v>16</v>
      </c>
      <c r="H2" s="27" t="s">
        <v>14</v>
      </c>
      <c r="I2" s="27">
        <v>1516290</v>
      </c>
      <c r="J2" s="42">
        <v>10</v>
      </c>
      <c r="K2" s="28">
        <v>0.156</v>
      </c>
      <c r="L2" s="33">
        <v>0</v>
      </c>
      <c r="M2" s="28">
        <f>Table1[[#This Row],[Shipping]]+Table1[[#This Row],[Price]]*Table1[[#This Row],[Qty ]]</f>
        <v>0.156</v>
      </c>
      <c r="N2" s="28"/>
      <c r="O2" s="27"/>
    </row>
    <row r="3" spans="1:15" s="8" customFormat="1">
      <c r="A3" s="54" t="s">
        <v>129</v>
      </c>
      <c r="B3" s="55">
        <v>1</v>
      </c>
      <c r="C3" s="45" t="s">
        <v>29</v>
      </c>
      <c r="D3" s="45" t="s">
        <v>26</v>
      </c>
      <c r="E3" s="45" t="s">
        <v>27</v>
      </c>
      <c r="F3" s="56"/>
      <c r="G3" s="57" t="s">
        <v>16</v>
      </c>
      <c r="H3" s="58" t="s">
        <v>14</v>
      </c>
      <c r="I3" s="58">
        <v>1516290</v>
      </c>
      <c r="J3" s="58">
        <v>10</v>
      </c>
      <c r="K3" s="59">
        <v>0.16</v>
      </c>
      <c r="L3" s="59">
        <v>0</v>
      </c>
      <c r="M3" s="59">
        <v>0.16</v>
      </c>
      <c r="N3" s="59"/>
      <c r="O3" s="60"/>
    </row>
    <row r="4" spans="1:15" s="8" customFormat="1">
      <c r="A4" s="61" t="s">
        <v>130</v>
      </c>
      <c r="B4" s="62">
        <v>1</v>
      </c>
      <c r="C4" s="63" t="s">
        <v>135</v>
      </c>
      <c r="D4" s="63" t="s">
        <v>131</v>
      </c>
      <c r="E4" s="63" t="s">
        <v>132</v>
      </c>
      <c r="F4" s="64"/>
      <c r="G4" s="65"/>
      <c r="H4" s="66"/>
      <c r="I4" s="66"/>
      <c r="J4" s="66"/>
      <c r="K4" s="67"/>
      <c r="L4" s="67"/>
      <c r="M4" s="67">
        <f>Table1[[#This Row],[Shipping]]+Table1[[#This Row],[Price]]*Table1[[#This Row],[Qty ]]</f>
        <v>0</v>
      </c>
      <c r="N4" s="67"/>
      <c r="O4" s="66"/>
    </row>
    <row r="5" spans="1:15" s="8" customFormat="1">
      <c r="A5" s="61" t="s">
        <v>133</v>
      </c>
      <c r="B5" s="62">
        <v>1</v>
      </c>
      <c r="C5" s="63" t="s">
        <v>135</v>
      </c>
      <c r="D5" s="63" t="s">
        <v>131</v>
      </c>
      <c r="E5" s="63" t="s">
        <v>134</v>
      </c>
      <c r="F5" s="64"/>
      <c r="G5" s="65"/>
      <c r="H5" s="66"/>
      <c r="I5" s="66"/>
      <c r="J5" s="66"/>
      <c r="K5" s="67"/>
      <c r="L5" s="67"/>
      <c r="M5" s="67">
        <f>Table1[[#This Row],[Shipping]]+Table1[[#This Row],[Price]]*Table1[[#This Row],[Qty ]]</f>
        <v>0</v>
      </c>
      <c r="N5" s="67"/>
      <c r="O5" s="66"/>
    </row>
    <row r="6" spans="1:15" s="8" customFormat="1" ht="30">
      <c r="A6" s="6" t="s">
        <v>148</v>
      </c>
      <c r="B6" s="30">
        <v>1</v>
      </c>
      <c r="C6" s="22" t="s">
        <v>86</v>
      </c>
      <c r="D6" s="22" t="s">
        <v>59</v>
      </c>
      <c r="E6" s="22" t="s">
        <v>149</v>
      </c>
      <c r="F6" s="7"/>
      <c r="G6" s="26"/>
      <c r="H6" s="27" t="s">
        <v>14</v>
      </c>
      <c r="I6" s="27" t="s">
        <v>87</v>
      </c>
      <c r="J6" s="42"/>
      <c r="K6" s="28"/>
      <c r="L6" s="33"/>
      <c r="M6" s="28">
        <f>Table1[[#This Row],[Shipping]]+Table1[[#This Row],[Price]]*Table1[[#This Row],[Qty ]]</f>
        <v>0</v>
      </c>
      <c r="N6" s="28"/>
      <c r="O6" s="27"/>
    </row>
    <row r="7" spans="1:15" s="8" customFormat="1">
      <c r="A7" s="6" t="s">
        <v>43</v>
      </c>
      <c r="B7" s="30">
        <v>1</v>
      </c>
      <c r="C7" s="22" t="s">
        <v>43</v>
      </c>
      <c r="D7" s="22" t="s">
        <v>44</v>
      </c>
      <c r="E7" s="22" t="s">
        <v>45</v>
      </c>
      <c r="F7" s="7"/>
      <c r="G7" s="26"/>
      <c r="H7" s="27" t="s">
        <v>14</v>
      </c>
      <c r="I7" s="27">
        <v>1200129</v>
      </c>
      <c r="J7" s="42">
        <v>1</v>
      </c>
      <c r="K7" s="28">
        <v>1.78</v>
      </c>
      <c r="L7" s="33">
        <v>0</v>
      </c>
      <c r="M7" s="28">
        <f>Table1[[#This Row],[Shipping]]+Table1[[#This Row],[Price]]*Table1[[#This Row],[Qty ]]</f>
        <v>1.78</v>
      </c>
      <c r="N7" s="28"/>
      <c r="O7" s="27"/>
    </row>
    <row r="8" spans="1:15" s="78" customFormat="1">
      <c r="A8" s="68"/>
      <c r="B8" s="69"/>
      <c r="C8" s="70"/>
      <c r="D8" s="70"/>
      <c r="E8" s="70"/>
      <c r="F8" s="71"/>
      <c r="G8" s="72"/>
      <c r="H8" s="73"/>
      <c r="I8" s="73"/>
      <c r="J8" s="74"/>
      <c r="K8" s="75"/>
      <c r="L8" s="76"/>
      <c r="M8" s="75">
        <f>Table1[[#This Row],[Shipping]]+Table1[[#This Row],[Price]]*Table1[[#This Row],[Qty ]]</f>
        <v>0</v>
      </c>
      <c r="N8" s="77"/>
      <c r="O8" s="73"/>
    </row>
    <row r="9" spans="1:15" s="8" customFormat="1">
      <c r="A9" s="6" t="s">
        <v>17</v>
      </c>
      <c r="B9" s="30">
        <v>1</v>
      </c>
      <c r="C9" s="22" t="s">
        <v>28</v>
      </c>
      <c r="D9" s="22" t="s">
        <v>18</v>
      </c>
      <c r="E9" s="22" t="s">
        <v>25</v>
      </c>
      <c r="F9" s="48"/>
      <c r="G9" s="49"/>
      <c r="H9" s="8" t="s">
        <v>19</v>
      </c>
      <c r="I9" s="50">
        <v>6906774</v>
      </c>
      <c r="J9" s="51">
        <v>1</v>
      </c>
      <c r="K9" s="44">
        <v>34.659999999999997</v>
      </c>
      <c r="L9" s="52">
        <v>0</v>
      </c>
      <c r="M9" s="28">
        <f>Table1[[#This Row],[Shipping]]+Table1[[#This Row],[Price]]*Table1[[#This Row],[Qty ]]</f>
        <v>34.659999999999997</v>
      </c>
      <c r="O9" s="8" t="s">
        <v>20</v>
      </c>
    </row>
    <row r="10" spans="1:15">
      <c r="A10" s="6" t="s">
        <v>32</v>
      </c>
      <c r="B10" s="30">
        <v>1</v>
      </c>
      <c r="C10" s="22" t="s">
        <v>30</v>
      </c>
      <c r="D10" s="22" t="s">
        <v>23</v>
      </c>
      <c r="E10" s="22" t="s">
        <v>24</v>
      </c>
      <c r="F10" s="7" t="s">
        <v>31</v>
      </c>
      <c r="G10" s="26"/>
      <c r="H10" s="27" t="s">
        <v>14</v>
      </c>
      <c r="I10" s="27">
        <v>1900168</v>
      </c>
      <c r="J10" s="42">
        <v>1</v>
      </c>
      <c r="K10" s="28">
        <v>36.799999999999997</v>
      </c>
      <c r="L10" s="33">
        <v>0</v>
      </c>
      <c r="M10" s="28">
        <f>Table1[[#This Row],[Shipping]]+Table1[[#This Row],[Price]]*Table1[[#This Row],[Qty ]]</f>
        <v>36.799999999999997</v>
      </c>
      <c r="N10" s="28"/>
      <c r="O10" s="27" t="s">
        <v>15</v>
      </c>
    </row>
    <row r="11" spans="1:15" s="8" customFormat="1">
      <c r="A11" s="6" t="s">
        <v>113</v>
      </c>
      <c r="B11" s="30">
        <v>1</v>
      </c>
      <c r="C11" s="22" t="s">
        <v>116</v>
      </c>
      <c r="D11" s="22" t="s">
        <v>114</v>
      </c>
      <c r="E11" s="22" t="s">
        <v>115</v>
      </c>
      <c r="F11" s="7" t="s">
        <v>117</v>
      </c>
      <c r="G11" s="26" t="s">
        <v>118</v>
      </c>
      <c r="H11" s="27" t="s">
        <v>14</v>
      </c>
      <c r="I11" s="27">
        <v>1611597</v>
      </c>
      <c r="J11" s="42">
        <v>1</v>
      </c>
      <c r="K11" s="28">
        <v>0.41</v>
      </c>
      <c r="L11" s="53">
        <v>0</v>
      </c>
      <c r="M11" s="28">
        <f>Table1[[#This Row],[Shipping]]+Table1[[#This Row],[Price]]*Table1[[#This Row],[Qty ]]</f>
        <v>0.41</v>
      </c>
      <c r="N11" s="46"/>
      <c r="O11" s="27"/>
    </row>
    <row r="12" spans="1:15" s="78" customFormat="1">
      <c r="A12" s="79"/>
      <c r="B12" s="80"/>
      <c r="C12" s="81"/>
      <c r="D12" s="81"/>
      <c r="E12" s="81"/>
      <c r="F12" s="82"/>
      <c r="G12" s="83"/>
      <c r="H12" s="84"/>
      <c r="I12" s="84"/>
      <c r="J12" s="85"/>
      <c r="K12" s="86"/>
      <c r="L12" s="87"/>
      <c r="M12" s="86">
        <f>Table1[[#This Row],[Shipping]]+Table1[[#This Row],[Price]]*Table1[[#This Row],[Qty ]]</f>
        <v>0</v>
      </c>
      <c r="N12" s="88"/>
      <c r="O12" s="84"/>
    </row>
    <row r="13" spans="1:15" s="8" customFormat="1">
      <c r="A13" s="6" t="s">
        <v>136</v>
      </c>
      <c r="B13" s="30">
        <v>12</v>
      </c>
      <c r="C13" s="22" t="s">
        <v>69</v>
      </c>
      <c r="D13" s="22" t="s">
        <v>70</v>
      </c>
      <c r="E13" s="22" t="s">
        <v>71</v>
      </c>
      <c r="F13" s="7" t="s">
        <v>72</v>
      </c>
      <c r="G13" s="26" t="s">
        <v>73</v>
      </c>
      <c r="H13" s="27" t="s">
        <v>14</v>
      </c>
      <c r="I13" s="27">
        <v>1135112</v>
      </c>
      <c r="J13" s="42">
        <v>1</v>
      </c>
      <c r="K13" s="28">
        <v>0.64</v>
      </c>
      <c r="L13" s="33">
        <v>0</v>
      </c>
      <c r="M13" s="28">
        <f>Table1[[#This Row],[Shipping]]+Table1[[#This Row],[Price]]*Table1[[#This Row],[Qty ]]</f>
        <v>7.68</v>
      </c>
      <c r="N13" s="28"/>
      <c r="O13" s="27" t="s">
        <v>74</v>
      </c>
    </row>
    <row r="14" spans="1:15" s="8" customFormat="1">
      <c r="A14" s="6" t="s">
        <v>137</v>
      </c>
      <c r="B14" s="30">
        <v>1</v>
      </c>
      <c r="C14" s="22" t="s">
        <v>138</v>
      </c>
      <c r="D14" s="22"/>
      <c r="E14" s="22"/>
      <c r="F14" s="7" t="s">
        <v>139</v>
      </c>
      <c r="G14" s="26" t="s">
        <v>65</v>
      </c>
      <c r="H14" s="27"/>
      <c r="I14" s="27"/>
      <c r="J14" s="42"/>
      <c r="K14" s="29"/>
      <c r="L14" s="38"/>
      <c r="M14" s="29">
        <f>Table1[[#This Row],[Shipping]]+Table1[[#This Row],[Price]]*Table1[[#This Row],[Qty ]]</f>
        <v>0</v>
      </c>
      <c r="N14" s="47"/>
      <c r="O14" s="27"/>
    </row>
    <row r="15" spans="1:15" s="8" customFormat="1">
      <c r="A15" s="6" t="s">
        <v>140</v>
      </c>
      <c r="B15" s="30">
        <v>4</v>
      </c>
      <c r="C15" s="22" t="s">
        <v>141</v>
      </c>
      <c r="D15" s="22"/>
      <c r="E15" s="22"/>
      <c r="F15" s="7" t="s">
        <v>142</v>
      </c>
      <c r="G15" s="26" t="s">
        <v>56</v>
      </c>
      <c r="H15" s="27"/>
      <c r="I15" s="27"/>
      <c r="J15" s="42"/>
      <c r="K15" s="29"/>
      <c r="L15" s="38"/>
      <c r="M15" s="29">
        <f>Table1[[#This Row],[Shipping]]+Table1[[#This Row],[Price]]*Table1[[#This Row],[Qty ]]</f>
        <v>0</v>
      </c>
      <c r="N15" s="47"/>
      <c r="O15" s="27"/>
    </row>
    <row r="16" spans="1:15" s="8" customFormat="1">
      <c r="A16" s="6" t="s">
        <v>103</v>
      </c>
      <c r="B16" s="30">
        <v>1</v>
      </c>
      <c r="C16" s="22" t="s">
        <v>99</v>
      </c>
      <c r="D16" s="22" t="s">
        <v>70</v>
      </c>
      <c r="E16" s="22" t="s">
        <v>100</v>
      </c>
      <c r="F16" s="7" t="s">
        <v>101</v>
      </c>
      <c r="G16" s="26" t="s">
        <v>65</v>
      </c>
      <c r="H16" s="27" t="s">
        <v>14</v>
      </c>
      <c r="I16" s="27">
        <v>1833814</v>
      </c>
      <c r="J16" s="42">
        <v>10</v>
      </c>
      <c r="K16" s="28">
        <v>0.2</v>
      </c>
      <c r="L16" s="33">
        <v>0</v>
      </c>
      <c r="M16" s="28">
        <f>Table1[[#This Row],[Shipping]]+Table1[[#This Row],[Price]]*Table1[[#This Row],[Qty ]]</f>
        <v>0.2</v>
      </c>
      <c r="N16" s="28"/>
      <c r="O16" s="27"/>
    </row>
    <row r="17" spans="1:15" s="8" customFormat="1">
      <c r="A17" s="6" t="s">
        <v>112</v>
      </c>
      <c r="B17" s="30">
        <v>4</v>
      </c>
      <c r="C17" s="22" t="s">
        <v>108</v>
      </c>
      <c r="D17" s="22" t="s">
        <v>109</v>
      </c>
      <c r="E17" s="22" t="s">
        <v>110</v>
      </c>
      <c r="F17" s="7" t="s">
        <v>111</v>
      </c>
      <c r="G17" s="26" t="s">
        <v>56</v>
      </c>
      <c r="H17" s="27" t="s">
        <v>14</v>
      </c>
      <c r="I17" s="27">
        <v>1845766</v>
      </c>
      <c r="J17" s="42">
        <v>10</v>
      </c>
      <c r="K17" s="28">
        <v>0.129</v>
      </c>
      <c r="L17" s="53">
        <v>0</v>
      </c>
      <c r="M17" s="28">
        <f>Table1[[#This Row],[Shipping]]+Table1[[#This Row],[Price]]*Table1[[#This Row],[Qty ]]</f>
        <v>0.51600000000000001</v>
      </c>
      <c r="N17" s="46"/>
      <c r="O17" s="27"/>
    </row>
    <row r="18" spans="1:15" s="8" customFormat="1">
      <c r="A18" s="6" t="s">
        <v>143</v>
      </c>
      <c r="B18" s="30">
        <v>1</v>
      </c>
      <c r="C18" s="22" t="s">
        <v>145</v>
      </c>
      <c r="D18" s="22"/>
      <c r="E18" s="22"/>
      <c r="F18" s="7" t="s">
        <v>144</v>
      </c>
      <c r="G18" s="26" t="s">
        <v>56</v>
      </c>
      <c r="H18" s="27"/>
      <c r="I18" s="27"/>
      <c r="J18" s="42"/>
      <c r="K18" s="29"/>
      <c r="L18" s="38"/>
      <c r="M18" s="29">
        <f>Table1[[#This Row],[Shipping]]+Table1[[#This Row],[Price]]*Table1[[#This Row],[Qty ]]</f>
        <v>0</v>
      </c>
      <c r="N18" s="47"/>
      <c r="O18" s="27"/>
    </row>
    <row r="19" spans="1:15" s="78" customFormat="1" ht="16" customHeight="1">
      <c r="A19" s="89"/>
      <c r="B19" s="80"/>
      <c r="C19" s="81"/>
      <c r="D19" s="81"/>
      <c r="E19" s="81"/>
      <c r="F19" s="82"/>
      <c r="G19" s="83"/>
      <c r="H19" s="84"/>
      <c r="I19" s="84"/>
      <c r="J19" s="85"/>
      <c r="K19" s="86"/>
      <c r="L19" s="90"/>
      <c r="M19" s="86"/>
      <c r="N19" s="86"/>
      <c r="O19" s="84"/>
    </row>
    <row r="20" spans="1:15" s="8" customFormat="1">
      <c r="A20" s="6" t="s">
        <v>146</v>
      </c>
      <c r="B20" s="30">
        <v>1</v>
      </c>
      <c r="C20" s="22" t="s">
        <v>50</v>
      </c>
      <c r="D20" s="22" t="s">
        <v>41</v>
      </c>
      <c r="E20" s="22" t="s">
        <v>52</v>
      </c>
      <c r="F20" s="7"/>
      <c r="G20" s="26" t="s">
        <v>53</v>
      </c>
      <c r="H20" s="27" t="s">
        <v>14</v>
      </c>
      <c r="I20" s="27">
        <v>1459060</v>
      </c>
      <c r="J20" s="42">
        <v>1</v>
      </c>
      <c r="K20" s="28">
        <v>0.81</v>
      </c>
      <c r="L20" s="33">
        <v>0</v>
      </c>
      <c r="M20" s="28">
        <f>Table1[[#This Row],[Shipping]]+Table1[[#This Row],[Price]]*Table1[[#This Row],[Qty ]]</f>
        <v>0.81</v>
      </c>
      <c r="N20" s="28"/>
      <c r="O20" s="27" t="s">
        <v>51</v>
      </c>
    </row>
    <row r="21" spans="1:15" s="78" customFormat="1">
      <c r="A21" s="89"/>
      <c r="B21" s="80"/>
      <c r="C21" s="81"/>
      <c r="D21" s="81"/>
      <c r="E21" s="81"/>
      <c r="F21" s="82"/>
      <c r="G21" s="83"/>
      <c r="H21" s="84"/>
      <c r="I21" s="84"/>
      <c r="J21" s="85"/>
      <c r="K21" s="86"/>
      <c r="L21" s="90"/>
      <c r="M21" s="86"/>
      <c r="N21" s="86"/>
      <c r="O21" s="84"/>
    </row>
    <row r="22" spans="1:15" s="8" customFormat="1">
      <c r="A22" s="6" t="s">
        <v>75</v>
      </c>
      <c r="B22" s="30">
        <v>2</v>
      </c>
      <c r="C22" s="22" t="s">
        <v>76</v>
      </c>
      <c r="D22" s="22" t="s">
        <v>77</v>
      </c>
      <c r="E22" s="22" t="s">
        <v>78</v>
      </c>
      <c r="F22" s="7" t="s">
        <v>79</v>
      </c>
      <c r="G22" s="26" t="s">
        <v>85</v>
      </c>
      <c r="H22" s="27" t="s">
        <v>14</v>
      </c>
      <c r="I22" s="27">
        <v>1301686</v>
      </c>
      <c r="J22" s="42">
        <v>1</v>
      </c>
      <c r="K22" s="28">
        <v>2.1800000000000002</v>
      </c>
      <c r="L22" s="33">
        <v>0</v>
      </c>
      <c r="M22" s="28">
        <f>Table1[[#This Row],[Shipping]]+Table1[[#This Row],[Price]]*Table1[[#This Row],[Qty ]]</f>
        <v>4.3600000000000003</v>
      </c>
      <c r="N22" s="28"/>
      <c r="O22" s="27"/>
    </row>
    <row r="23" spans="1:15" s="8" customFormat="1">
      <c r="A23" s="6" t="s">
        <v>80</v>
      </c>
      <c r="B23" s="30">
        <v>1</v>
      </c>
      <c r="C23" s="22" t="s">
        <v>76</v>
      </c>
      <c r="D23" s="22" t="s">
        <v>81</v>
      </c>
      <c r="E23" s="22" t="s">
        <v>82</v>
      </c>
      <c r="F23" s="7" t="s">
        <v>83</v>
      </c>
      <c r="G23" s="26" t="s">
        <v>84</v>
      </c>
      <c r="H23" s="27" t="s">
        <v>14</v>
      </c>
      <c r="I23" s="27">
        <v>1644479</v>
      </c>
      <c r="J23" s="42">
        <v>1</v>
      </c>
      <c r="K23" s="28">
        <v>1.93</v>
      </c>
      <c r="L23" s="33">
        <v>0</v>
      </c>
      <c r="M23" s="28">
        <f>Table1[[#This Row],[Shipping]]+Table1[[#This Row],[Price]]*Table1[[#This Row],[Qty ]]</f>
        <v>1.93</v>
      </c>
      <c r="N23" s="28"/>
      <c r="O23" s="27"/>
    </row>
    <row r="24" spans="1:15" s="78" customFormat="1">
      <c r="A24" s="79"/>
      <c r="B24" s="80"/>
      <c r="C24" s="81"/>
      <c r="D24" s="81"/>
      <c r="E24" s="81"/>
      <c r="F24" s="82"/>
      <c r="G24" s="83"/>
      <c r="H24" s="84"/>
      <c r="I24" s="84"/>
      <c r="J24" s="85"/>
      <c r="K24" s="86"/>
      <c r="L24" s="87"/>
      <c r="M24" s="86">
        <f>Table1[[#This Row],[Shipping]]+Table1[[#This Row],[Price]]*Table1[[#This Row],[Qty ]]</f>
        <v>0</v>
      </c>
      <c r="N24" s="88"/>
      <c r="O24" s="84"/>
    </row>
    <row r="25" spans="1:15" s="8" customFormat="1">
      <c r="A25" s="6" t="s">
        <v>54</v>
      </c>
      <c r="B25" s="30">
        <v>1</v>
      </c>
      <c r="C25" s="22" t="s">
        <v>49</v>
      </c>
      <c r="D25" s="22" t="s">
        <v>46</v>
      </c>
      <c r="E25" s="22" t="s">
        <v>47</v>
      </c>
      <c r="F25" s="7"/>
      <c r="G25" s="26" t="s">
        <v>42</v>
      </c>
      <c r="H25" s="27" t="s">
        <v>14</v>
      </c>
      <c r="I25" s="27">
        <v>9846310</v>
      </c>
      <c r="J25" s="42">
        <v>5</v>
      </c>
      <c r="K25" s="28">
        <v>0.66</v>
      </c>
      <c r="L25" s="33">
        <v>0</v>
      </c>
      <c r="M25" s="28">
        <f>Table1[[#This Row],[Shipping]]+Table1[[#This Row],[Price]]*Table1[[#This Row],[Qty ]]</f>
        <v>0.66</v>
      </c>
      <c r="N25" s="28"/>
      <c r="O25" s="27" t="s">
        <v>48</v>
      </c>
    </row>
    <row r="26" spans="1:15" s="78" customFormat="1">
      <c r="A26" s="79"/>
      <c r="B26" s="80"/>
      <c r="C26" s="81"/>
      <c r="D26" s="81"/>
      <c r="E26" s="81"/>
      <c r="F26" s="82"/>
      <c r="G26" s="83"/>
      <c r="H26" s="84"/>
      <c r="I26" s="84"/>
      <c r="J26" s="85"/>
      <c r="K26" s="86"/>
      <c r="L26" s="87"/>
      <c r="M26" s="86">
        <f>Table1[[#This Row],[Shipping]]+Table1[[#This Row],[Price]]*Table1[[#This Row],[Qty ]]</f>
        <v>0</v>
      </c>
      <c r="N26" s="88"/>
      <c r="O26" s="84"/>
    </row>
    <row r="27" spans="1:15" s="8" customFormat="1">
      <c r="A27" s="6" t="s">
        <v>169</v>
      </c>
      <c r="B27" s="30">
        <v>1</v>
      </c>
      <c r="C27" s="22" t="s">
        <v>60</v>
      </c>
      <c r="D27" s="22"/>
      <c r="E27" s="22"/>
      <c r="F27" s="7" t="s">
        <v>62</v>
      </c>
      <c r="G27" s="26" t="s">
        <v>56</v>
      </c>
      <c r="H27" s="27"/>
      <c r="I27" s="27"/>
      <c r="J27" s="42"/>
      <c r="K27" s="28"/>
      <c r="L27" s="33"/>
      <c r="M27" s="28">
        <f>Table1[[#This Row],[Shipping]]+Table1[[#This Row],[Price]]*Table1[[#This Row],[Qty ]]</f>
        <v>0</v>
      </c>
      <c r="N27" s="28"/>
      <c r="O27" s="27" t="s">
        <v>68</v>
      </c>
    </row>
    <row r="28" spans="1:15" s="8" customFormat="1" ht="19" customHeight="1">
      <c r="A28" s="6" t="s">
        <v>61</v>
      </c>
      <c r="B28" s="30">
        <v>1</v>
      </c>
      <c r="C28" s="22" t="s">
        <v>60</v>
      </c>
      <c r="D28" s="22" t="s">
        <v>59</v>
      </c>
      <c r="E28" s="22" t="s">
        <v>58</v>
      </c>
      <c r="F28" s="7" t="s">
        <v>57</v>
      </c>
      <c r="G28" s="26" t="s">
        <v>56</v>
      </c>
      <c r="H28" s="27" t="s">
        <v>14</v>
      </c>
      <c r="I28" s="27">
        <v>1527674</v>
      </c>
      <c r="J28" s="42">
        <v>5</v>
      </c>
      <c r="K28" s="28">
        <v>0.159</v>
      </c>
      <c r="L28" s="33">
        <v>0</v>
      </c>
      <c r="M28" s="28">
        <f>Table1[[#This Row],[Shipping]]+Table1[[#This Row],[Price]]*Table1[[#This Row],[Qty ]]</f>
        <v>0.159</v>
      </c>
      <c r="N28" s="28"/>
      <c r="O28" s="27" t="s">
        <v>67</v>
      </c>
    </row>
    <row r="29" spans="1:15" s="8" customFormat="1" ht="19" customHeight="1">
      <c r="A29" s="6" t="s">
        <v>172</v>
      </c>
      <c r="B29" s="30">
        <v>2</v>
      </c>
      <c r="C29" s="22" t="s">
        <v>60</v>
      </c>
      <c r="D29" s="22"/>
      <c r="E29" s="22"/>
      <c r="F29" s="7" t="s">
        <v>162</v>
      </c>
      <c r="G29" s="26" t="s">
        <v>56</v>
      </c>
      <c r="H29" s="27"/>
      <c r="I29" s="27"/>
      <c r="J29" s="42"/>
      <c r="K29" s="29"/>
      <c r="L29" s="38"/>
      <c r="M29" s="29">
        <f>Table1[[#This Row],[Shipping]]+Table1[[#This Row],[Price]]*Table1[[#This Row],[Qty ]]</f>
        <v>0</v>
      </c>
      <c r="N29" s="47"/>
      <c r="O29" s="27"/>
    </row>
    <row r="30" spans="1:15" s="8" customFormat="1" ht="19" customHeight="1">
      <c r="A30" s="6" t="s">
        <v>163</v>
      </c>
      <c r="B30" s="30">
        <v>1</v>
      </c>
      <c r="C30" s="22" t="s">
        <v>60</v>
      </c>
      <c r="D30" s="22"/>
      <c r="E30" s="22"/>
      <c r="F30" s="7" t="s">
        <v>164</v>
      </c>
      <c r="G30" s="26" t="s">
        <v>56</v>
      </c>
      <c r="H30" s="27"/>
      <c r="I30" s="27"/>
      <c r="J30" s="42"/>
      <c r="K30" s="29"/>
      <c r="L30" s="38"/>
      <c r="M30" s="29">
        <f>Table1[[#This Row],[Shipping]]+Table1[[#This Row],[Price]]*Table1[[#This Row],[Qty ]]</f>
        <v>0</v>
      </c>
      <c r="N30" s="47"/>
      <c r="O30" s="27"/>
    </row>
    <row r="31" spans="1:15" s="8" customFormat="1">
      <c r="A31" s="6" t="s">
        <v>63</v>
      </c>
      <c r="B31" s="30">
        <v>1</v>
      </c>
      <c r="C31" s="22" t="s">
        <v>60</v>
      </c>
      <c r="D31" s="22"/>
      <c r="E31" s="22"/>
      <c r="F31" s="7" t="s">
        <v>64</v>
      </c>
      <c r="G31" s="26" t="s">
        <v>56</v>
      </c>
      <c r="H31" s="27" t="s">
        <v>14</v>
      </c>
      <c r="I31" s="27">
        <v>1527501</v>
      </c>
      <c r="J31" s="42">
        <v>5</v>
      </c>
      <c r="K31" s="28">
        <v>0.53</v>
      </c>
      <c r="L31" s="33">
        <v>0</v>
      </c>
      <c r="M31" s="28">
        <f>Table1[[#This Row],[Shipping]]+Table1[[#This Row],[Price]]*Table1[[#This Row],[Qty ]]</f>
        <v>0.53</v>
      </c>
      <c r="N31" s="28"/>
      <c r="O31" s="27" t="s">
        <v>66</v>
      </c>
    </row>
    <row r="32" spans="1:15" s="107" customFormat="1">
      <c r="A32" s="97" t="s">
        <v>182</v>
      </c>
      <c r="B32" s="98">
        <v>1</v>
      </c>
      <c r="C32" s="99" t="s">
        <v>60</v>
      </c>
      <c r="D32" s="99"/>
      <c r="E32" s="99"/>
      <c r="F32" s="100" t="s">
        <v>181</v>
      </c>
      <c r="G32" s="101" t="s">
        <v>56</v>
      </c>
      <c r="H32" s="102" t="s">
        <v>185</v>
      </c>
      <c r="I32" s="102" t="s">
        <v>186</v>
      </c>
      <c r="J32" s="103">
        <v>10</v>
      </c>
      <c r="K32" s="104">
        <v>7.2999999999999995E-2</v>
      </c>
      <c r="L32" s="105">
        <v>0</v>
      </c>
      <c r="M32" s="104">
        <f>Table1[[#This Row],[Shipping]]+Table1[[#This Row],[Price]]*Table1[[#This Row],[Qty ]]</f>
        <v>7.2999999999999995E-2</v>
      </c>
      <c r="N32" s="106"/>
      <c r="O32" s="102"/>
    </row>
    <row r="33" spans="1:15" s="107" customFormat="1">
      <c r="A33" s="97" t="s">
        <v>183</v>
      </c>
      <c r="B33" s="98">
        <v>1</v>
      </c>
      <c r="C33" s="99" t="s">
        <v>60</v>
      </c>
      <c r="D33" s="99"/>
      <c r="E33" s="99"/>
      <c r="F33" s="100" t="s">
        <v>184</v>
      </c>
      <c r="G33" s="101" t="s">
        <v>56</v>
      </c>
      <c r="H33" s="102" t="s">
        <v>185</v>
      </c>
      <c r="I33" s="102" t="s">
        <v>187</v>
      </c>
      <c r="J33" s="103">
        <v>10</v>
      </c>
      <c r="K33" s="104">
        <v>7.2999999999999995E-2</v>
      </c>
      <c r="L33" s="105">
        <v>0</v>
      </c>
      <c r="M33" s="104">
        <f>Table1[[#This Row],[Shipping]]+Table1[[#This Row],[Price]]*Table1[[#This Row],[Qty ]]</f>
        <v>7.2999999999999995E-2</v>
      </c>
      <c r="N33" s="106"/>
      <c r="O33" s="102"/>
    </row>
    <row r="34" spans="1:15" s="107" customFormat="1">
      <c r="A34" s="97" t="s">
        <v>165</v>
      </c>
      <c r="B34" s="98">
        <v>1</v>
      </c>
      <c r="C34" s="99" t="s">
        <v>60</v>
      </c>
      <c r="D34" s="99"/>
      <c r="E34" s="99"/>
      <c r="F34" s="100" t="s">
        <v>180</v>
      </c>
      <c r="G34" s="101" t="s">
        <v>56</v>
      </c>
      <c r="H34" s="102"/>
      <c r="I34" s="102"/>
      <c r="J34" s="103"/>
      <c r="K34" s="104"/>
      <c r="L34" s="105"/>
      <c r="M34" s="104">
        <f>Table1[[#This Row],[Shipping]]+Table1[[#This Row],[Price]]*Table1[[#This Row],[Qty ]]</f>
        <v>0</v>
      </c>
      <c r="N34" s="106"/>
      <c r="O34" s="102"/>
    </row>
    <row r="35" spans="1:15" s="8" customFormat="1">
      <c r="A35" s="6" t="s">
        <v>166</v>
      </c>
      <c r="B35" s="30">
        <v>2</v>
      </c>
      <c r="C35" s="22" t="s">
        <v>60</v>
      </c>
      <c r="D35" s="22"/>
      <c r="E35" s="22"/>
      <c r="F35" s="7" t="s">
        <v>167</v>
      </c>
      <c r="G35" s="26" t="s">
        <v>56</v>
      </c>
      <c r="H35" s="27"/>
      <c r="I35" s="27"/>
      <c r="J35" s="42"/>
      <c r="K35" s="29"/>
      <c r="L35" s="38"/>
      <c r="M35" s="29">
        <f>Table1[[#This Row],[Shipping]]+Table1[[#This Row],[Price]]*Table1[[#This Row],[Qty ]]</f>
        <v>0</v>
      </c>
      <c r="N35" s="47"/>
      <c r="O35" s="27"/>
    </row>
    <row r="36" spans="1:15" s="8" customFormat="1">
      <c r="A36" s="6" t="s">
        <v>168</v>
      </c>
      <c r="B36" s="30">
        <v>1</v>
      </c>
      <c r="C36" s="22" t="s">
        <v>60</v>
      </c>
      <c r="D36" s="22"/>
      <c r="E36" s="22"/>
      <c r="F36" s="7">
        <v>150</v>
      </c>
      <c r="G36" s="26" t="s">
        <v>56</v>
      </c>
      <c r="H36" s="27"/>
      <c r="I36" s="27"/>
      <c r="J36" s="42"/>
      <c r="K36" s="29"/>
      <c r="L36" s="38"/>
      <c r="M36" s="29">
        <f>Table1[[#This Row],[Shipping]]+Table1[[#This Row],[Price]]*Table1[[#This Row],[Qty ]]</f>
        <v>0</v>
      </c>
      <c r="N36" s="47"/>
      <c r="O36" s="27"/>
    </row>
    <row r="37" spans="1:15" s="8" customFormat="1">
      <c r="A37" s="6" t="s">
        <v>170</v>
      </c>
      <c r="B37" s="30">
        <v>1</v>
      </c>
      <c r="C37" s="22" t="s">
        <v>60</v>
      </c>
      <c r="D37" s="22"/>
      <c r="E37" s="22"/>
      <c r="F37" s="7" t="s">
        <v>171</v>
      </c>
      <c r="G37" s="26" t="s">
        <v>56</v>
      </c>
      <c r="H37" s="27"/>
      <c r="I37" s="27"/>
      <c r="J37" s="42"/>
      <c r="K37" s="29"/>
      <c r="L37" s="38"/>
      <c r="M37" s="29">
        <f>Table1[[#This Row],[Shipping]]+Table1[[#This Row],[Price]]*Table1[[#This Row],[Qty ]]</f>
        <v>0</v>
      </c>
      <c r="N37" s="47"/>
      <c r="O37" s="27"/>
    </row>
    <row r="38" spans="1:15" s="8" customFormat="1">
      <c r="A38" s="6" t="s">
        <v>173</v>
      </c>
      <c r="B38" s="30">
        <v>1</v>
      </c>
      <c r="C38" s="22" t="s">
        <v>174</v>
      </c>
      <c r="D38" s="22" t="s">
        <v>23</v>
      </c>
      <c r="E38" s="22" t="s">
        <v>175</v>
      </c>
      <c r="F38" s="7" t="s">
        <v>177</v>
      </c>
      <c r="G38" s="26" t="s">
        <v>176</v>
      </c>
      <c r="H38" s="27" t="s">
        <v>14</v>
      </c>
      <c r="I38" s="27">
        <v>1577522</v>
      </c>
      <c r="J38" s="42">
        <v>1</v>
      </c>
      <c r="K38" s="29">
        <v>0.97</v>
      </c>
      <c r="L38" s="38">
        <v>0</v>
      </c>
      <c r="M38" s="29">
        <f>Table1[[#This Row],[Shipping]]+Table1[[#This Row],[Price]]*Table1[[#This Row],[Qty ]]</f>
        <v>0.97</v>
      </c>
      <c r="N38" s="47"/>
      <c r="O38" s="27"/>
    </row>
    <row r="39" spans="1:15" s="8" customFormat="1">
      <c r="A39" s="6" t="s">
        <v>178</v>
      </c>
      <c r="B39" s="30">
        <v>1</v>
      </c>
      <c r="C39" s="22" t="s">
        <v>179</v>
      </c>
      <c r="D39" s="22" t="s">
        <v>23</v>
      </c>
      <c r="E39" s="22" t="s">
        <v>190</v>
      </c>
      <c r="F39" s="7"/>
      <c r="G39" s="26"/>
      <c r="H39" s="27"/>
      <c r="I39" s="27"/>
      <c r="J39" s="42"/>
      <c r="K39" s="29"/>
      <c r="L39" s="38"/>
      <c r="M39" s="29">
        <f>Table1[[#This Row],[Shipping]]+Table1[[#This Row],[Price]]*Table1[[#This Row],[Qty ]]</f>
        <v>0</v>
      </c>
      <c r="N39" s="47"/>
      <c r="O39" s="27"/>
    </row>
    <row r="41" spans="1:15" s="78" customFormat="1">
      <c r="A41" s="79"/>
      <c r="B41" s="80"/>
      <c r="C41" s="81"/>
      <c r="D41" s="82"/>
      <c r="E41" s="82"/>
      <c r="F41" s="92"/>
      <c r="H41" s="93"/>
      <c r="I41" s="94"/>
      <c r="J41" s="95"/>
      <c r="K41" s="96"/>
      <c r="L41" s="95"/>
    </row>
    <row r="42" spans="1:15" s="8" customFormat="1" ht="30">
      <c r="A42" s="6" t="s">
        <v>119</v>
      </c>
      <c r="B42" s="30">
        <v>1</v>
      </c>
      <c r="C42" s="22" t="s">
        <v>33</v>
      </c>
      <c r="D42" s="22" t="s">
        <v>34</v>
      </c>
      <c r="E42" s="22" t="s">
        <v>35</v>
      </c>
      <c r="F42" s="7" t="s">
        <v>36</v>
      </c>
      <c r="G42" s="26" t="s">
        <v>37</v>
      </c>
      <c r="H42" s="27" t="s">
        <v>14</v>
      </c>
      <c r="I42" s="27">
        <v>1215594</v>
      </c>
      <c r="J42" s="42">
        <v>1</v>
      </c>
      <c r="K42" s="28">
        <v>6.01</v>
      </c>
      <c r="L42" s="33">
        <v>0</v>
      </c>
      <c r="M42" s="28">
        <f>Table1[[#This Row],[Shipping]]+Table1[[#This Row],[Price]]*Table1[[#This Row],[Qty ]]</f>
        <v>6.01</v>
      </c>
      <c r="N42" s="28"/>
      <c r="O42" s="27" t="s">
        <v>33</v>
      </c>
    </row>
    <row r="43" spans="1:15" s="8" customFormat="1" ht="30">
      <c r="A43" s="6" t="s">
        <v>121</v>
      </c>
      <c r="B43" s="30">
        <v>1</v>
      </c>
      <c r="C43" s="22" t="s">
        <v>123</v>
      </c>
      <c r="D43" s="22" t="s">
        <v>34</v>
      </c>
      <c r="E43" s="22" t="s">
        <v>125</v>
      </c>
      <c r="F43" s="7" t="s">
        <v>127</v>
      </c>
      <c r="G43" s="26" t="s">
        <v>37</v>
      </c>
      <c r="H43" s="27" t="s">
        <v>14</v>
      </c>
      <c r="I43" s="27">
        <v>1652399</v>
      </c>
      <c r="J43" s="42">
        <v>1</v>
      </c>
      <c r="K43" s="28">
        <v>5.96</v>
      </c>
      <c r="L43" s="33">
        <v>0</v>
      </c>
      <c r="M43" s="28">
        <f>Table1[[#This Row],[Shipping]]+Table1[[#This Row],[Price]]*Table1[[#This Row],[Qty ]]</f>
        <v>5.96</v>
      </c>
      <c r="N43" s="28"/>
      <c r="O43" s="27" t="s">
        <v>33</v>
      </c>
    </row>
    <row r="44" spans="1:15" s="107" customFormat="1" ht="45">
      <c r="A44" s="97" t="s">
        <v>55</v>
      </c>
      <c r="B44" s="98">
        <v>1</v>
      </c>
      <c r="C44" s="99" t="s">
        <v>38</v>
      </c>
      <c r="D44" s="99" t="s">
        <v>39</v>
      </c>
      <c r="E44" s="99" t="s">
        <v>189</v>
      </c>
      <c r="F44" s="100"/>
      <c r="G44" s="101" t="s">
        <v>40</v>
      </c>
      <c r="H44" s="102" t="s">
        <v>14</v>
      </c>
      <c r="I44" s="102">
        <v>1578450</v>
      </c>
      <c r="J44" s="103">
        <v>1</v>
      </c>
      <c r="K44" s="108">
        <v>1.33</v>
      </c>
      <c r="L44" s="109">
        <v>0</v>
      </c>
      <c r="M44" s="108">
        <f>Table1[[#This Row],[Shipping]]+Table1[[#This Row],[Price]]*Table1[[#This Row],[Qty ]]</f>
        <v>1.33</v>
      </c>
      <c r="N44" s="108"/>
      <c r="O44" s="99" t="s">
        <v>188</v>
      </c>
    </row>
    <row r="45" spans="1:15" s="8" customFormat="1" ht="30">
      <c r="A45" s="6" t="s">
        <v>120</v>
      </c>
      <c r="B45" s="30">
        <v>1</v>
      </c>
      <c r="C45" s="22" t="s">
        <v>122</v>
      </c>
      <c r="D45" s="22" t="s">
        <v>34</v>
      </c>
      <c r="E45" s="22" t="s">
        <v>124</v>
      </c>
      <c r="F45" s="7" t="s">
        <v>126</v>
      </c>
      <c r="G45" s="26" t="s">
        <v>37</v>
      </c>
      <c r="H45" s="27" t="s">
        <v>14</v>
      </c>
      <c r="I45" s="27">
        <v>1755645</v>
      </c>
      <c r="J45" s="42">
        <v>1</v>
      </c>
      <c r="K45" s="28">
        <v>6.18</v>
      </c>
      <c r="L45" s="33">
        <v>0</v>
      </c>
      <c r="M45" s="28">
        <f>Table1[[#This Row],[Shipping]]+Table1[[#This Row],[Price]]*Table1[[#This Row],[Qty ]]</f>
        <v>6.18</v>
      </c>
      <c r="N45" s="28"/>
      <c r="O45" s="27" t="s">
        <v>33</v>
      </c>
    </row>
    <row r="46" spans="1:15">
      <c r="A46" s="3" t="s">
        <v>152</v>
      </c>
      <c r="B46" s="16">
        <v>1</v>
      </c>
      <c r="C46" s="15" t="s">
        <v>153</v>
      </c>
      <c r="D46" s="2" t="s">
        <v>154</v>
      </c>
      <c r="E46" s="2" t="s">
        <v>155</v>
      </c>
      <c r="G46" t="s">
        <v>37</v>
      </c>
      <c r="H46" s="1" t="s">
        <v>19</v>
      </c>
      <c r="I46" s="41" t="s">
        <v>156</v>
      </c>
      <c r="J46" s="91">
        <v>1</v>
      </c>
      <c r="K46" s="34">
        <v>2.4700000000000002</v>
      </c>
      <c r="L46" s="5">
        <v>0</v>
      </c>
      <c r="M46" s="28">
        <f>Table1[[#This Row],[Shipping]]+Table1[[#This Row],[Price]]*Table1[[#This Row],[Qty ]]</f>
        <v>2.4700000000000002</v>
      </c>
    </row>
    <row r="47" spans="1:15" s="8" customFormat="1">
      <c r="A47" s="6" t="s">
        <v>151</v>
      </c>
      <c r="B47" s="30">
        <v>1</v>
      </c>
      <c r="C47" s="22" t="s">
        <v>91</v>
      </c>
      <c r="D47" s="22" t="s">
        <v>34</v>
      </c>
      <c r="E47" s="22" t="s">
        <v>93</v>
      </c>
      <c r="F47" s="7"/>
      <c r="G47" s="26" t="s">
        <v>92</v>
      </c>
      <c r="H47" s="27" t="s">
        <v>14</v>
      </c>
      <c r="I47" s="27">
        <v>1470881</v>
      </c>
      <c r="J47" s="42">
        <v>1</v>
      </c>
      <c r="K47" s="28">
        <v>0.53</v>
      </c>
      <c r="L47" s="53">
        <v>0</v>
      </c>
      <c r="M47" s="28">
        <f>Table1[[#This Row],[Shipping]]+Table1[[#This Row],[Price]]*Table1[[#This Row],[Qty ]]</f>
        <v>0.53</v>
      </c>
      <c r="N47" s="46"/>
      <c r="O47" s="27"/>
    </row>
    <row r="48" spans="1:15" s="8" customFormat="1">
      <c r="A48" s="6" t="s">
        <v>150</v>
      </c>
      <c r="B48" s="30">
        <v>1</v>
      </c>
      <c r="C48" s="22" t="s">
        <v>88</v>
      </c>
      <c r="D48" s="22" t="s">
        <v>34</v>
      </c>
      <c r="E48" s="22" t="s">
        <v>89</v>
      </c>
      <c r="F48" s="7"/>
      <c r="G48" s="26" t="s">
        <v>90</v>
      </c>
      <c r="H48" s="27" t="s">
        <v>14</v>
      </c>
      <c r="I48" s="27">
        <v>1753378</v>
      </c>
      <c r="J48" s="42">
        <v>1</v>
      </c>
      <c r="K48" s="28">
        <v>0.28000000000000003</v>
      </c>
      <c r="L48" s="53">
        <v>0</v>
      </c>
      <c r="M48" s="28">
        <f>Table1[[#This Row],[Shipping]]+Table1[[#This Row],[Price]]*Table1[[#This Row],[Qty ]]</f>
        <v>0.28000000000000003</v>
      </c>
      <c r="N48" s="46"/>
      <c r="O48" s="27"/>
    </row>
    <row r="49" spans="1:15" s="8" customFormat="1">
      <c r="A49" s="6" t="s">
        <v>102</v>
      </c>
      <c r="B49" s="30">
        <v>1</v>
      </c>
      <c r="C49" s="22" t="s">
        <v>94</v>
      </c>
      <c r="D49" s="22" t="s">
        <v>95</v>
      </c>
      <c r="E49" s="22" t="s">
        <v>98</v>
      </c>
      <c r="F49" s="7" t="s">
        <v>96</v>
      </c>
      <c r="G49" s="26" t="s">
        <v>97</v>
      </c>
      <c r="H49" s="27" t="s">
        <v>14</v>
      </c>
      <c r="I49" s="27">
        <v>1842361</v>
      </c>
      <c r="J49" s="42">
        <v>1</v>
      </c>
      <c r="K49" s="28">
        <v>1.5</v>
      </c>
      <c r="L49" s="33">
        <v>0</v>
      </c>
      <c r="M49" s="28">
        <f>Table1[[#This Row],[Shipping]]+Table1[[#This Row],[Price]]*Table1[[#This Row],[Qty ]]</f>
        <v>1.5</v>
      </c>
      <c r="N49" s="28"/>
      <c r="O49" s="27"/>
    </row>
    <row r="50" spans="1:15" s="8" customFormat="1">
      <c r="A50" s="6" t="s">
        <v>147</v>
      </c>
      <c r="B50" s="30">
        <v>1</v>
      </c>
      <c r="C50" s="22" t="s">
        <v>104</v>
      </c>
      <c r="D50" s="22" t="s">
        <v>105</v>
      </c>
      <c r="E50" s="22" t="s">
        <v>106</v>
      </c>
      <c r="F50" s="7"/>
      <c r="G50" s="26" t="s">
        <v>107</v>
      </c>
      <c r="H50" s="27" t="s">
        <v>14</v>
      </c>
      <c r="I50" s="27">
        <v>1827319</v>
      </c>
      <c r="J50" s="42">
        <v>1</v>
      </c>
      <c r="K50" s="28">
        <v>1.37</v>
      </c>
      <c r="L50" s="33">
        <v>0</v>
      </c>
      <c r="M50" s="28">
        <f>Table1[[#This Row],[Shipping]]+Table1[[#This Row],[Price]]*Table1[[#This Row],[Qty ]]</f>
        <v>1.37</v>
      </c>
      <c r="N50" s="28"/>
      <c r="O50" s="27"/>
    </row>
    <row r="51" spans="1:15" s="8" customFormat="1" ht="30">
      <c r="A51" s="6" t="s">
        <v>160</v>
      </c>
      <c r="B51" s="30">
        <v>1</v>
      </c>
      <c r="C51" s="22" t="s">
        <v>157</v>
      </c>
      <c r="D51" s="22" t="s">
        <v>161</v>
      </c>
      <c r="E51" s="22" t="s">
        <v>158</v>
      </c>
      <c r="F51" s="7"/>
      <c r="G51" s="26" t="s">
        <v>159</v>
      </c>
      <c r="H51" s="27" t="s">
        <v>14</v>
      </c>
      <c r="I51" s="27">
        <v>1631684</v>
      </c>
      <c r="J51" s="42">
        <v>1</v>
      </c>
      <c r="K51" s="28">
        <v>0.14499999999999999</v>
      </c>
      <c r="L51" s="53">
        <v>0</v>
      </c>
      <c r="M51" s="28">
        <f>Table1[[#This Row],[Shipping]]+Table1[[#This Row],[Price]]*Table1[[#This Row],[Qty ]]</f>
        <v>0.14499999999999999</v>
      </c>
      <c r="N51" s="46"/>
      <c r="O51" s="27"/>
    </row>
    <row r="52" spans="1:15" s="21" customFormat="1" ht="31" customHeight="1">
      <c r="A52" s="6"/>
      <c r="B52" s="30"/>
      <c r="C52" s="22"/>
      <c r="D52" s="22"/>
      <c r="E52" s="22"/>
      <c r="F52" s="7"/>
      <c r="G52" s="26"/>
      <c r="H52" s="27"/>
      <c r="I52" s="27"/>
      <c r="J52" s="42"/>
      <c r="K52" s="29"/>
      <c r="L52" s="38"/>
      <c r="M52" s="29">
        <f>Table1[[#This Row],[Shipping]]+Table1[[#This Row],[Price]]*Table1[[#This Row],[Qty ]]</f>
        <v>0</v>
      </c>
      <c r="N52" s="47"/>
      <c r="O52" s="27"/>
    </row>
    <row r="53" spans="1:15" s="9" customFormat="1">
      <c r="A53" s="6"/>
      <c r="B53" s="30"/>
      <c r="C53" s="22"/>
      <c r="D53" s="22"/>
      <c r="E53" s="22"/>
      <c r="F53" s="7"/>
      <c r="G53" s="26"/>
      <c r="H53" s="27"/>
      <c r="I53" s="27"/>
      <c r="J53" s="42"/>
      <c r="K53" s="28"/>
      <c r="L53" s="33"/>
      <c r="M53" s="28">
        <f>Table1[[#This Row],[Shipping]]+Table1[[#This Row],[Price]]*Table1[[#This Row],[Qty ]]</f>
        <v>0</v>
      </c>
      <c r="N53" s="28"/>
      <c r="O53" s="27"/>
    </row>
    <row r="54" spans="1:15" s="10" customFormat="1">
      <c r="A54" s="6"/>
      <c r="B54" s="30"/>
      <c r="C54" s="22"/>
      <c r="D54" s="22"/>
      <c r="E54" s="22"/>
      <c r="F54" s="7"/>
      <c r="G54" s="26"/>
      <c r="H54" s="27"/>
      <c r="I54" s="27"/>
      <c r="J54" s="42"/>
      <c r="K54" s="28"/>
      <c r="L54" s="33"/>
      <c r="M54" s="28">
        <f>Table1[[#This Row],[Shipping]]+Table1[[#This Row],[Price]]*Table1[[#This Row],[Qty ]]</f>
        <v>0</v>
      </c>
      <c r="N54" s="28"/>
      <c r="O54" s="27"/>
    </row>
    <row r="55" spans="1:15" s="8" customFormat="1">
      <c r="A55" s="15" t="s">
        <v>13</v>
      </c>
      <c r="B55" s="16"/>
      <c r="C55" s="15"/>
      <c r="D55" s="15"/>
      <c r="E55" s="15"/>
      <c r="F55" s="17"/>
      <c r="G55" s="17"/>
      <c r="H55" s="17"/>
      <c r="I55" s="17"/>
      <c r="J55" s="40"/>
      <c r="K55" s="36"/>
      <c r="L55" s="39"/>
      <c r="M55" s="18">
        <f>SUM(Table1[[Total first ]])</f>
        <v>117.70199999999998</v>
      </c>
      <c r="N55" s="19">
        <f>SUM(Table1[approx. total second])</f>
        <v>0</v>
      </c>
      <c r="O55" s="20"/>
    </row>
    <row r="56" spans="1:15">
      <c r="O56" s="9"/>
    </row>
    <row r="57" spans="1:15">
      <c r="A57" s="11"/>
      <c r="B57" s="31"/>
      <c r="C57" s="23"/>
      <c r="D57" s="12"/>
      <c r="E57" s="12"/>
      <c r="F57" s="13"/>
      <c r="G57" s="10"/>
      <c r="H57" s="14"/>
      <c r="I57" s="43"/>
      <c r="J57" s="37"/>
      <c r="K57" s="35"/>
      <c r="L57" s="10"/>
      <c r="M57" s="10"/>
      <c r="N57" s="10"/>
      <c r="O57" s="10"/>
    </row>
    <row r="58" spans="1:15">
      <c r="A58" s="11"/>
      <c r="B58" s="31"/>
      <c r="C58" s="23"/>
      <c r="D58" s="12"/>
      <c r="E58" s="12"/>
      <c r="F58" s="13"/>
      <c r="G58" s="10"/>
      <c r="H58" s="14"/>
      <c r="I58" s="43"/>
      <c r="J58" s="37"/>
      <c r="K58" s="35"/>
      <c r="L58" s="10"/>
      <c r="M58" s="8"/>
      <c r="N58" s="10"/>
      <c r="O58" s="8"/>
    </row>
    <row r="62" spans="1:15">
      <c r="A62" s="6"/>
    </row>
    <row r="63" spans="1:15">
      <c r="A63" s="6"/>
    </row>
  </sheetData>
  <phoneticPr fontId="6" type="noConversion"/>
  <pageMargins left="0.75000000000000011" right="0.75000000000000011" top="1" bottom="1" header="0.5" footer="0.5"/>
  <pageSetup paperSize="9" scale="46" fitToWidth="2" orientation="landscape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V2_Lab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de Bakker</dc:creator>
  <cp:lastModifiedBy>Simon de Bakker</cp:lastModifiedBy>
  <cp:lastPrinted>2012-08-21T11:06:58Z</cp:lastPrinted>
  <dcterms:created xsi:type="dcterms:W3CDTF">2012-03-04T20:57:10Z</dcterms:created>
  <dcterms:modified xsi:type="dcterms:W3CDTF">2012-08-21T11:38:15Z</dcterms:modified>
</cp:coreProperties>
</file>